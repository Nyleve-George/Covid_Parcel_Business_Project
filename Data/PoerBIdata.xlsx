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Personal_Projects\Covid_Parcel_Business_Project\Data\"/>
    </mc:Choice>
  </mc:AlternateContent>
  <xr:revisionPtr revIDLastSave="0" documentId="13_ncr:1_{0161BD26-7C0C-4C19-8405-5BEFCB00EBB0}" xr6:coauthVersionLast="47" xr6:coauthVersionMax="47" xr10:uidLastSave="{00000000-0000-0000-0000-000000000000}"/>
  <bookViews>
    <workbookView xWindow="-110" yWindow="-110" windowWidth="19420" windowHeight="10300" activeTab="1" xr2:uid="{583C2690-A594-41DF-B266-133638D4CB7F}"/>
  </bookViews>
  <sheets>
    <sheet name="lost" sheetId="1" r:id="rId1"/>
    <sheet name="New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4" l="1"/>
  <c r="G7" i="4"/>
  <c r="H7" i="4"/>
  <c r="F6" i="4"/>
  <c r="F7" i="4"/>
  <c r="C9" i="4"/>
  <c r="D9" i="4"/>
  <c r="E9" i="4"/>
  <c r="B9" i="4"/>
  <c r="F8" i="4"/>
  <c r="C8" i="4"/>
  <c r="D8" i="4"/>
  <c r="E8" i="4"/>
  <c r="B8" i="4"/>
</calcChain>
</file>

<file path=xl/sharedStrings.xml><?xml version="1.0" encoding="utf-8"?>
<sst xmlns="http://schemas.openxmlformats.org/spreadsheetml/2006/main" count="38" uniqueCount="22">
  <si>
    <t>Customer_Group_2019</t>
  </si>
  <si>
    <t>Lost_Customers</t>
  </si>
  <si>
    <t>% of 2019 Group</t>
  </si>
  <si>
    <t>Enterprise</t>
  </si>
  <si>
    <t>Large</t>
  </si>
  <si>
    <t>Medium</t>
  </si>
  <si>
    <t>Small</t>
  </si>
  <si>
    <t>Customer_Group_2020</t>
  </si>
  <si>
    <t>New_Customers</t>
  </si>
  <si>
    <t>% of 2020 Group</t>
  </si>
  <si>
    <t>Other</t>
  </si>
  <si>
    <t>Volume_2019</t>
  </si>
  <si>
    <t>Revenue_2019</t>
  </si>
  <si>
    <t>Volume_2020</t>
  </si>
  <si>
    <t>Revenue_2020</t>
  </si>
  <si>
    <t>Volume_%Change</t>
  </si>
  <si>
    <t>Revenue_%Change</t>
  </si>
  <si>
    <t>Growth_Category</t>
  </si>
  <si>
    <t>Declining Customers</t>
  </si>
  <si>
    <t>High Growth Customers</t>
  </si>
  <si>
    <t>Lost Customers</t>
  </si>
  <si>
    <t>Stable 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</si>
</sst>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7"/>
      <color theme="1"/>
      <name val="Segoe UI"/>
      <family val="2"/>
    </font>
    <font>
      <sz val="7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2" borderId="0" xfId="0" applyFont="1" applyFill="1" applyAlignment="1">
      <alignment horizontal="right" vertical="center" wrapText="1"/>
    </xf>
    <xf numFmtId="0" fontId="3" fillId="2" borderId="0" xfId="0" applyFont="1" applyFill="1" applyAlignment="1">
      <alignment horizontal="right" vertical="center" wrapText="1"/>
    </xf>
    <xf numFmtId="11" fontId="3" fillId="2" borderId="0" xfId="0" applyNumberFormat="1" applyFont="1" applyFill="1" applyAlignment="1">
      <alignment horizontal="right" vertical="center" wrapText="1"/>
    </xf>
    <xf numFmtId="9" fontId="0" fillId="0" borderId="0" xfId="2" applyFont="1"/>
    <xf numFmtId="43" fontId="0" fillId="0" borderId="0" xfId="1" applyFont="1"/>
    <xf numFmtId="43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7B5C9-D5B7-46D2-9C4F-D1BF72702531}">
  <dimension ref="B1:D5"/>
  <sheetViews>
    <sheetView workbookViewId="0">
      <selection activeCell="C8" sqref="C8"/>
    </sheetView>
  </sheetViews>
  <sheetFormatPr defaultRowHeight="14.5" x14ac:dyDescent="0.35"/>
  <sheetData>
    <row r="1" spans="2:4" ht="21" x14ac:dyDescent="0.35">
      <c r="B1" s="1" t="s">
        <v>0</v>
      </c>
      <c r="C1" s="1" t="s">
        <v>1</v>
      </c>
      <c r="D1" s="1" t="s">
        <v>2</v>
      </c>
    </row>
    <row r="2" spans="2:4" x14ac:dyDescent="0.35">
      <c r="B2" s="2" t="s">
        <v>3</v>
      </c>
      <c r="C2" s="2">
        <v>0</v>
      </c>
      <c r="D2" s="2">
        <v>0</v>
      </c>
    </row>
    <row r="3" spans="2:4" x14ac:dyDescent="0.35">
      <c r="B3" s="2" t="s">
        <v>4</v>
      </c>
      <c r="C3" s="2">
        <v>0</v>
      </c>
      <c r="D3" s="2">
        <v>0</v>
      </c>
    </row>
    <row r="4" spans="2:4" x14ac:dyDescent="0.35">
      <c r="B4" s="2" t="s">
        <v>5</v>
      </c>
      <c r="C4" s="2">
        <v>1</v>
      </c>
      <c r="D4" s="2">
        <v>0.56999999999999995</v>
      </c>
    </row>
    <row r="5" spans="2:4" x14ac:dyDescent="0.35">
      <c r="B5" s="2" t="s">
        <v>6</v>
      </c>
      <c r="C5" s="2">
        <v>14</v>
      </c>
      <c r="D5" s="2">
        <v>1.63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73A88-F79A-48E7-A5A9-7A1EB9C7E2DA}">
  <dimension ref="B1:D6"/>
  <sheetViews>
    <sheetView tabSelected="1" workbookViewId="0">
      <selection sqref="A1:A6"/>
    </sheetView>
  </sheetViews>
  <sheetFormatPr defaultRowHeight="14.5" x14ac:dyDescent="0.35"/>
  <sheetData>
    <row r="1" spans="2:4" ht="21" x14ac:dyDescent="0.35">
      <c r="B1" s="1" t="s">
        <v>7</v>
      </c>
      <c r="C1" s="1" t="s">
        <v>8</v>
      </c>
      <c r="D1" s="1" t="s">
        <v>9</v>
      </c>
    </row>
    <row r="2" spans="2:4" x14ac:dyDescent="0.35">
      <c r="B2" s="2" t="s">
        <v>3</v>
      </c>
      <c r="C2" s="2">
        <v>0</v>
      </c>
      <c r="D2" s="2">
        <v>0</v>
      </c>
    </row>
    <row r="3" spans="2:4" x14ac:dyDescent="0.35">
      <c r="B3" s="2" t="s">
        <v>4</v>
      </c>
      <c r="C3" s="2">
        <v>0</v>
      </c>
      <c r="D3" s="2">
        <v>0</v>
      </c>
    </row>
    <row r="4" spans="2:4" x14ac:dyDescent="0.35">
      <c r="B4" s="2" t="s">
        <v>5</v>
      </c>
      <c r="C4" s="2">
        <v>0</v>
      </c>
      <c r="D4" s="2">
        <v>0</v>
      </c>
    </row>
    <row r="5" spans="2:4" x14ac:dyDescent="0.35">
      <c r="B5" s="2" t="s">
        <v>10</v>
      </c>
      <c r="C5" s="2">
        <v>0</v>
      </c>
      <c r="D5" s="2">
        <v>0</v>
      </c>
    </row>
    <row r="6" spans="2:4" x14ac:dyDescent="0.35">
      <c r="B6" s="2" t="s">
        <v>6</v>
      </c>
      <c r="C6" s="2">
        <v>0</v>
      </c>
      <c r="D6" s="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7E9F-0E7E-494D-8F47-80AE716FE69E}">
  <dimension ref="B1:H6"/>
  <sheetViews>
    <sheetView workbookViewId="0">
      <selection sqref="A1:A6"/>
    </sheetView>
  </sheetViews>
  <sheetFormatPr defaultRowHeight="14.5" x14ac:dyDescent="0.35"/>
  <sheetData>
    <row r="1" spans="2:8" ht="21" x14ac:dyDescent="0.35">
      <c r="B1" s="1" t="s">
        <v>7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</row>
    <row r="2" spans="2:8" x14ac:dyDescent="0.35">
      <c r="B2" s="2" t="s">
        <v>3</v>
      </c>
      <c r="C2" s="2">
        <v>32568109</v>
      </c>
      <c r="D2" s="3">
        <v>559517300</v>
      </c>
      <c r="E2" s="2">
        <v>48268516</v>
      </c>
      <c r="F2" s="3">
        <v>828287700</v>
      </c>
      <c r="G2" s="2">
        <v>48.21</v>
      </c>
      <c r="H2" s="2">
        <v>48.04</v>
      </c>
    </row>
    <row r="3" spans="2:8" x14ac:dyDescent="0.35">
      <c r="B3" s="2" t="s">
        <v>4</v>
      </c>
      <c r="C3" s="2">
        <v>3442517</v>
      </c>
      <c r="D3" s="3">
        <v>64537710</v>
      </c>
      <c r="E3" s="2">
        <v>6312511</v>
      </c>
      <c r="F3" s="3">
        <v>115266500</v>
      </c>
      <c r="G3" s="2">
        <v>83.37</v>
      </c>
      <c r="H3" s="2">
        <v>78.599999999999994</v>
      </c>
    </row>
    <row r="4" spans="2:8" x14ac:dyDescent="0.35">
      <c r="B4" s="2" t="s">
        <v>5</v>
      </c>
      <c r="C4" s="2">
        <v>5007277</v>
      </c>
      <c r="D4" s="3">
        <v>99178200</v>
      </c>
      <c r="E4" s="2">
        <v>6987075</v>
      </c>
      <c r="F4" s="3">
        <v>138344100</v>
      </c>
      <c r="G4" s="2">
        <v>39.54</v>
      </c>
      <c r="H4" s="2">
        <v>39.49</v>
      </c>
    </row>
    <row r="5" spans="2:8" x14ac:dyDescent="0.35">
      <c r="B5" s="2" t="s">
        <v>10</v>
      </c>
      <c r="C5" s="2">
        <v>144097</v>
      </c>
      <c r="D5" s="3">
        <v>3043329</v>
      </c>
      <c r="E5" s="2">
        <v>32296</v>
      </c>
      <c r="F5" s="3">
        <v>710512</v>
      </c>
      <c r="G5" s="2">
        <v>-77.59</v>
      </c>
      <c r="H5" s="2">
        <v>-76.650000000000006</v>
      </c>
    </row>
    <row r="6" spans="2:8" x14ac:dyDescent="0.35">
      <c r="B6" s="2" t="s">
        <v>6</v>
      </c>
      <c r="C6" s="2">
        <v>1926478</v>
      </c>
      <c r="D6" s="3">
        <v>40196070</v>
      </c>
      <c r="E6" s="2">
        <v>2135489</v>
      </c>
      <c r="F6" s="3">
        <v>45101530</v>
      </c>
      <c r="G6" s="2">
        <v>10.85</v>
      </c>
      <c r="H6" s="2">
        <v>12.2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CDA01-B5BA-4289-9972-23769B0AAF31}">
  <dimension ref="A1:I9"/>
  <sheetViews>
    <sheetView workbookViewId="0">
      <selection activeCell="I8" sqref="I8"/>
    </sheetView>
  </sheetViews>
  <sheetFormatPr defaultRowHeight="14.5" x14ac:dyDescent="0.35"/>
  <sheetData>
    <row r="1" spans="1:9" ht="21" x14ac:dyDescent="0.3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</row>
    <row r="2" spans="1:9" ht="21" x14ac:dyDescent="0.35">
      <c r="A2" s="1" t="s">
        <v>7</v>
      </c>
      <c r="B2" s="1"/>
      <c r="C2" s="1"/>
      <c r="D2" s="1"/>
      <c r="E2" s="1"/>
    </row>
    <row r="3" spans="1:9" x14ac:dyDescent="0.35">
      <c r="A3" s="1" t="s">
        <v>3</v>
      </c>
      <c r="B3" s="2">
        <v>3</v>
      </c>
      <c r="C3" s="2">
        <v>10</v>
      </c>
      <c r="D3" s="2">
        <v>0</v>
      </c>
      <c r="E3" s="2">
        <v>1</v>
      </c>
    </row>
    <row r="4" spans="1:9" x14ac:dyDescent="0.35">
      <c r="A4" s="1" t="s">
        <v>4</v>
      </c>
      <c r="B4" s="2">
        <v>1</v>
      </c>
      <c r="C4" s="2">
        <v>19</v>
      </c>
      <c r="D4" s="2">
        <v>0</v>
      </c>
      <c r="E4" s="2">
        <v>2</v>
      </c>
    </row>
    <row r="5" spans="1:9" x14ac:dyDescent="0.35">
      <c r="A5" s="1" t="s">
        <v>5</v>
      </c>
      <c r="B5" s="2">
        <v>44</v>
      </c>
      <c r="C5" s="2">
        <v>171</v>
      </c>
      <c r="D5" s="2">
        <v>0</v>
      </c>
      <c r="E5" s="2">
        <v>19</v>
      </c>
    </row>
    <row r="6" spans="1:9" x14ac:dyDescent="0.35">
      <c r="A6" s="1" t="s">
        <v>10</v>
      </c>
      <c r="B6" s="2">
        <v>84</v>
      </c>
      <c r="C6" s="2">
        <v>0</v>
      </c>
      <c r="D6" s="2">
        <v>11</v>
      </c>
      <c r="E6" s="2">
        <v>0</v>
      </c>
      <c r="F6">
        <f>SUM(B6:E6)</f>
        <v>95</v>
      </c>
    </row>
    <row r="7" spans="1:9" x14ac:dyDescent="0.35">
      <c r="A7" s="1" t="s">
        <v>6</v>
      </c>
      <c r="B7" s="2">
        <v>241</v>
      </c>
      <c r="C7" s="2">
        <v>386</v>
      </c>
      <c r="D7" s="2">
        <v>0</v>
      </c>
      <c r="E7" s="2">
        <v>54</v>
      </c>
      <c r="F7">
        <f>SUM(B7:E7)</f>
        <v>681</v>
      </c>
      <c r="G7" s="5">
        <f>B6+B7</f>
        <v>325</v>
      </c>
      <c r="H7">
        <f>F7+F6</f>
        <v>776</v>
      </c>
      <c r="I7" s="6">
        <f>G7/H7</f>
        <v>0.41881443298969073</v>
      </c>
    </row>
    <row r="8" spans="1:9" x14ac:dyDescent="0.35">
      <c r="B8">
        <f>SUM(B2:B7)</f>
        <v>373</v>
      </c>
      <c r="C8">
        <f t="shared" ref="C8:E8" si="0">SUM(C2:C7)</f>
        <v>586</v>
      </c>
      <c r="D8">
        <f t="shared" si="0"/>
        <v>11</v>
      </c>
      <c r="E8">
        <f t="shared" si="0"/>
        <v>76</v>
      </c>
      <c r="F8">
        <f>SUM(B8:E8)</f>
        <v>1046</v>
      </c>
    </row>
    <row r="9" spans="1:9" x14ac:dyDescent="0.35">
      <c r="B9" s="4">
        <f>B8/$F$8</f>
        <v>0.35659655831739961</v>
      </c>
      <c r="C9" s="4">
        <f t="shared" ref="C9:E9" si="1">C8/$F$8</f>
        <v>0.56022944550669218</v>
      </c>
      <c r="D9" s="4">
        <f t="shared" si="1"/>
        <v>1.0516252390057362E-2</v>
      </c>
      <c r="E9" s="4">
        <f t="shared" si="1"/>
        <v>7.2657743785850867E-2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lost</vt:lpstr>
      <vt:lpstr>New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George, Evelyn</dc:creator>
  <cp:lastModifiedBy>George, Evelyn</cp:lastModifiedBy>
  <dcterms:created xsi:type="dcterms:W3CDTF">2025-12-09T17:49:36Z</dcterms:created>
  <dcterms:modified xsi:type="dcterms:W3CDTF">2025-12-12T01:56:11Z</dcterms:modified>
</cp:coreProperties>
</file>